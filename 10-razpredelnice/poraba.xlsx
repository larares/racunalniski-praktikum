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r21702\racunalniski praktikum 1\RP\racunalniski-praktikum\10-razpredelnice\"/>
    </mc:Choice>
  </mc:AlternateContent>
  <xr:revisionPtr revIDLastSave="0" documentId="13_ncr:1_{B2DB791E-9C37-4F89-863B-015F21C5B460}" xr6:coauthVersionLast="47" xr6:coauthVersionMax="47" xr10:uidLastSave="{00000000-0000-0000-0000-000000000000}"/>
  <bookViews>
    <workbookView xWindow="645" yWindow="795" windowWidth="13770" windowHeight="11295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1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4" l="1"/>
  <c r="G16" i="4"/>
  <c r="G17" i="4"/>
  <c r="G1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F8" i="4"/>
  <c r="H8" i="4" s="1"/>
  <c r="F9" i="4"/>
  <c r="H9" i="4" s="1"/>
  <c r="F10" i="4"/>
  <c r="H10" i="4" s="1"/>
  <c r="F11" i="4"/>
  <c r="G11" i="4" s="1"/>
  <c r="F12" i="4"/>
  <c r="G12" i="4" s="1"/>
  <c r="F13" i="4"/>
  <c r="G13" i="4" s="1"/>
  <c r="F14" i="4"/>
  <c r="G14" i="4" s="1"/>
  <c r="F15" i="4"/>
  <c r="H15" i="4" s="1"/>
  <c r="F16" i="4"/>
  <c r="H16" i="4" s="1"/>
  <c r="F17" i="4"/>
  <c r="H17" i="4" s="1"/>
  <c r="F18" i="4"/>
  <c r="H18" i="4" s="1"/>
  <c r="F19" i="4"/>
  <c r="H19" i="4" s="1"/>
  <c r="F20" i="4"/>
  <c r="H20" i="4" s="1"/>
  <c r="F21" i="4"/>
  <c r="G21" i="4" s="1"/>
  <c r="F7" i="4"/>
  <c r="H7" i="4" s="1"/>
  <c r="F6" i="4"/>
  <c r="H6" i="4" s="1"/>
  <c r="F5" i="4"/>
  <c r="H5" i="4" s="1"/>
  <c r="F4" i="4"/>
  <c r="H4" i="4" s="1"/>
  <c r="H21" i="4" l="1"/>
  <c r="H13" i="4"/>
  <c r="G10" i="4"/>
  <c r="G9" i="4"/>
  <c r="G6" i="4"/>
  <c r="G4" i="4"/>
  <c r="H11" i="4"/>
  <c r="H14" i="4"/>
  <c r="G20" i="4"/>
  <c r="G8" i="4"/>
  <c r="G19" i="4"/>
  <c r="G7" i="4"/>
  <c r="H12" i="4"/>
  <c r="G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<sst xmlns="http://schemas.openxmlformats.org/spreadsheetml/2006/main" count="22" uniqueCount="21">
  <si>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</si>
  <si>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</si>
  <si>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</si>
  <si>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</si>
  <si>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</si>
  <si>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</si>
  <si>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</si>
  <si>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</si>
  <si>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</si>
  <si>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</si>
  <si>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Grand Total</t>
  </si>
  <si>
    <t>May</t>
  </si>
  <si>
    <t>Jun</t>
  </si>
  <si>
    <t>Jul</t>
  </si>
  <si>
    <t>Aug</t>
  </si>
  <si>
    <t>Sept</t>
  </si>
  <si>
    <t>Oct</t>
  </si>
  <si>
    <t>Vrednosti</t>
  </si>
  <si>
    <t>Mesec</t>
  </si>
  <si>
    <t>Skupaj km</t>
  </si>
  <si>
    <t>Povprečna poraba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</si>
</sst>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72" formatCode="_([$€-2]\ * #,##0.00_);_([$€-2]\ * \(#,##0.00\);_([$€-2]\ * &quot;-&quot;??_);_(@_)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7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2" formatCode="0.00"/>
    </dxf>
    <dxf>
      <numFmt numFmtId="167" formatCode="0.0000"/>
    </dxf>
    <dxf>
      <numFmt numFmtId="166" formatCode="0.00000"/>
    </dxf>
    <dxf>
      <numFmt numFmtId="177" formatCode="0.000000"/>
    </dxf>
    <dxf>
      <numFmt numFmtId="176" formatCode="0.0000000"/>
    </dxf>
    <dxf>
      <numFmt numFmtId="175" formatCode="0.00000000"/>
    </dxf>
    <dxf>
      <numFmt numFmtId="174" formatCode="0.000000000"/>
    </dxf>
    <dxf>
      <numFmt numFmtId="173" formatCode="0.0000000000"/>
    </dxf>
    <dxf>
      <numFmt numFmtId="2" formatCode="0.00"/>
    </dxf>
    <dxf>
      <numFmt numFmtId="168" formatCode="0.000"/>
    </dxf>
    <dxf>
      <numFmt numFmtId="167" formatCode="0.0000"/>
    </dxf>
    <dxf>
      <numFmt numFmtId="166" formatCode="0.00000"/>
    </dxf>
    <dxf>
      <numFmt numFmtId="177" formatCode="0.000000"/>
    </dxf>
    <dxf>
      <numFmt numFmtId="176" formatCode="0.0000000"/>
    </dxf>
    <dxf>
      <numFmt numFmtId="175" formatCode="0.0000000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167" formatCode="0.0000"/>
    </dxf>
    <dxf>
      <numFmt numFmtId="166" formatCode="0.00000"/>
    </dxf>
    <dxf>
      <numFmt numFmtId="177" formatCode="0.000000"/>
    </dxf>
    <dxf>
      <numFmt numFmtId="176" formatCode="0.0000000"/>
    </dxf>
    <dxf>
      <numFmt numFmtId="175" formatCode="0.00000000"/>
    </dxf>
    <dxf>
      <numFmt numFmtId="174" formatCode="0.000000000"/>
    </dxf>
    <dxf>
      <numFmt numFmtId="173" formatCode="0.0000000000"/>
    </dxf>
    <dxf>
      <numFmt numFmtId="2" formatCode="0.00"/>
      <fill>
        <patternFill patternType="none">
          <fgColor indexed="64"/>
          <bgColor auto="1"/>
        </patternFill>
      </fill>
    </dxf>
    <dxf>
      <numFmt numFmtId="172" formatCode="_([$€-2]\ * #,##0.00_);_([$€-2]\ * \(#,##0.00\);_([$€-2]\ * &quot;-&quot;??_);_(@_)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š, Lara" refreshedDate="45999.805612152777" createdVersion="7" refreshedVersion="7" minRefreshableVersion="3" recordCount="19" xr:uid="{C9986F45-81F7-4BAF-9F5D-04D5CD9FB03E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172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14" maxValue="8.1008968609865484" count="19">
        <s v=""/>
        <n v="7.006514657980456"/>
        <n v="6.3136363636363635"/>
        <n v="6.6097087378640778"/>
        <n v="6.8640776699029127"/>
        <n v="6.3103953147877014"/>
        <n v="6.9544626593806917"/>
        <n v="7.0103448275862057"/>
        <n v="6.9821746880570412"/>
        <n v="7.1563055062166967"/>
        <n v="6.646677471636953"/>
        <n v="6.8851851851851853"/>
        <n v="6.9331103678929766"/>
        <n v="7.5726315789473686"/>
        <n v="7.2819548872180455"/>
        <n v="8.1008968609865484"/>
        <n v="7.2251407129455911"/>
        <n v="6.4518272425249181"/>
        <n v="7.1578044596912518"/>
      </sharedItems>
    </cacheField>
    <cacheField name="Prikaz" numFmtId="2">
      <sharedItems containsString="0" containsBlank="1" containsNumber="1" minValue="6.3103953147877014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  <m/>
  </r>
  <r>
    <x v="1"/>
    <n v="43.02"/>
    <n v="59.797800000000002"/>
    <n v="42521"/>
    <x v="1"/>
    <x v="1"/>
    <n v="7.006514657980456"/>
  </r>
  <r>
    <x v="2"/>
    <n v="41.67"/>
    <n v="57.921299999999995"/>
    <n v="43181"/>
    <x v="2"/>
    <x v="2"/>
    <n v="6.3136363636363635"/>
  </r>
  <r>
    <x v="3"/>
    <n v="34.04"/>
    <n v="47.043279999999996"/>
    <n v="43696"/>
    <x v="3"/>
    <x v="3"/>
    <n v="6.6097087378640778"/>
  </r>
  <r>
    <x v="4"/>
    <n v="42.42"/>
    <n v="59.897039999999997"/>
    <n v="44314"/>
    <x v="4"/>
    <x v="4"/>
    <n v="6.8640776699029127"/>
  </r>
  <r>
    <x v="5"/>
    <n v="43.1"/>
    <n v="60.857199999999999"/>
    <n v="44997"/>
    <x v="5"/>
    <x v="5"/>
    <n v="6.3103953147877014"/>
  </r>
  <r>
    <x v="6"/>
    <n v="38.18"/>
    <n v="54.368319999999997"/>
    <n v="45546"/>
    <x v="6"/>
    <x v="6"/>
    <n v="6.9544626593806917"/>
  </r>
  <r>
    <x v="7"/>
    <n v="40.659999999999997"/>
    <n v="58.713039999999992"/>
    <n v="46126"/>
    <x v="7"/>
    <x v="7"/>
    <n v="7.0103448275862057"/>
  </r>
  <r>
    <x v="8"/>
    <n v="39.17"/>
    <n v="56.561480000000003"/>
    <n v="46687"/>
    <x v="8"/>
    <x v="8"/>
    <n v="6.9821746880570412"/>
  </r>
  <r>
    <x v="9"/>
    <n v="40.29"/>
    <n v="58.662239999999997"/>
    <n v="47250"/>
    <x v="9"/>
    <x v="9"/>
    <n v="7.1563055062166967"/>
  </r>
  <r>
    <x v="10"/>
    <n v="41.01"/>
    <n v="59.710559999999994"/>
    <n v="47867"/>
    <x v="10"/>
    <x v="10"/>
    <n v="6.646677471636953"/>
  </r>
  <r>
    <x v="11"/>
    <n v="37.18"/>
    <n v="56.178979999999996"/>
    <n v="48407"/>
    <x v="11"/>
    <x v="11"/>
    <n v="6.8851851851851853"/>
  </r>
  <r>
    <x v="12"/>
    <n v="41.46"/>
    <n v="62.646059999999999"/>
    <n v="49005"/>
    <x v="12"/>
    <x v="12"/>
    <n v="6.9331103678929766"/>
  </r>
  <r>
    <x v="13"/>
    <n v="35.97"/>
    <n v="55.537680000000002"/>
    <n v="49480"/>
    <x v="13"/>
    <x v="13"/>
    <n v="7.5726315789473686"/>
  </r>
  <r>
    <x v="14"/>
    <n v="38.74"/>
    <n v="60.085740000000001"/>
    <n v="50012"/>
    <x v="14"/>
    <x v="14"/>
    <n v="7.2819548872180455"/>
  </r>
  <r>
    <x v="15"/>
    <n v="36.130000000000003"/>
    <n v="56.03763"/>
    <n v="50458"/>
    <x v="15"/>
    <x v="15"/>
    <n v="8.1008968609865484"/>
  </r>
  <r>
    <x v="16"/>
    <n v="38.51"/>
    <n v="61.153880000000001"/>
    <n v="50991"/>
    <x v="16"/>
    <x v="16"/>
    <n v="7.2251407129455911"/>
  </r>
  <r>
    <x v="17"/>
    <n v="38.840000000000003"/>
    <n v="61.677920000000007"/>
    <n v="51593"/>
    <x v="17"/>
    <x v="17"/>
    <n v="6.4518272425249181"/>
  </r>
  <r>
    <x v="18"/>
    <n v="41.73"/>
    <n v="64.097279999999998"/>
    <n v="52176"/>
    <x v="18"/>
    <x v="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AE485-7415-4991-8CC1-38FADB9F6E7F}" name="PivotTable3" cacheId="13" dataOnRows="1" applyNumberFormats="0" applyBorderFormats="0" applyFontFormats="0" applyPatternFormats="0" applyAlignmentFormats="0" applyWidthHeightFormats="1" dataCaption="Vrednosti" updatedVersion="7" minRefreshableVersion="3" useAutoFormatting="1" itemPrintTitles="1" createdVersion="7" indent="0" outline="1" outlineData="1" multipleFieldFilters="0" colHeaderCaption="Mesec">
  <location ref="B28:I31" firstHeaderRow="1" firstDataRow="2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172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7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Skupaj km" fld="4" baseField="7" baseItem="5"/>
    <dataField name="Povprečna poraba" fld="5" subtotal="average" baseField="5" baseItem="0"/>
  </dataFields>
  <formats count="1">
    <format dxfId="5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42"/>
    <tableColumn id="2" xr3:uid="{6DC2697C-FCB3-8A47-945B-8CD05834AA8C}" uniqueName="2" name="Litri" queryTableFieldId="2" dataDxfId="34"/>
    <tableColumn id="3" xr3:uid="{19DBC541-3ADF-4E48-8786-6E42DA219788}" uniqueName="3" name="Plačano" queryTableFieldId="3" dataDxfId="32"/>
    <tableColumn id="4" xr3:uid="{3238A9AD-2FC0-0E49-9EE3-7019C05B366B}" uniqueName="4" name="Števec" queryTableFieldId="4" dataDxfId="33"/>
    <tableColumn id="5" xr3:uid="{E0B5480D-9C8F-CA4C-941D-AE9FDE0CDFDC}" uniqueName="5" name="Prevoženo" queryTableFieldId="5" dataDxfId="41"/>
    <tableColumn id="6" xr3:uid="{1DEAFC6B-8470-6742-BAB3-957B7429D133}" uniqueName="6" name="Poraba" queryTableFieldId="6" dataDxfId="40"/>
    <tableColumn id="11" xr3:uid="{911769A8-5CFE-8245-A64B-38797D90A3B5}" uniqueName="11" name="Prikaz" queryTableFieldId="11" dataDxfId="31">
      <calculatedColumnFormula>100*realna_poraba_cupra__2[[#This Row],[Litri]]/realna_poraba_cupra__2[[#This Row],[Prevoženo]]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39" tableBorderDxfId="38" totalsRowBorderDxfId="37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36"/>
    <tableColumn id="2" xr3:uid="{079EA12A-47EB-F54A-8E37-30D8BCE75150}" name="Bencin" dataDxfId="3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31"/>
  <sheetViews>
    <sheetView tabSelected="1" topLeftCell="A13" zoomScale="120" zoomScaleNormal="120" workbookViewId="0">
      <selection activeCell="C34" sqref="C34"/>
    </sheetView>
  </sheetViews>
  <sheetFormatPr defaultColWidth="11.42578125" defaultRowHeight="15" x14ac:dyDescent="0.25"/>
  <cols>
    <col min="1" max="1" width="3.85546875" customWidth="1"/>
    <col min="2" max="2" width="17.42578125" bestFit="1" customWidth="1"/>
    <col min="3" max="3" width="16.42578125" bestFit="1" customWidth="1"/>
    <col min="4" max="9" width="13.42578125" bestFit="1" customWidth="1"/>
    <col min="10" max="13" width="21.140625" bestFit="1" customWidth="1"/>
    <col min="14" max="14" width="22.85546875" bestFit="1" customWidth="1"/>
    <col min="15" max="15" width="26.28515625" bestFit="1" customWidth="1"/>
    <col min="16" max="20" width="4.28515625" bestFit="1" customWidth="1"/>
    <col min="21" max="21" width="2.140625" bestFit="1" customWidth="1"/>
    <col min="22" max="22" width="11.5703125" bestFit="1" customWidth="1"/>
    <col min="23" max="23" width="15.28515625" bestFit="1" customWidth="1"/>
    <col min="24" max="24" width="23.140625" bestFit="1" customWidth="1"/>
    <col min="25" max="25" width="15.28515625" bestFit="1" customWidth="1"/>
    <col min="26" max="26" width="23.140625" bestFit="1" customWidth="1"/>
    <col min="27" max="27" width="15.28515625" bestFit="1" customWidth="1"/>
    <col min="28" max="28" width="22" bestFit="1" customWidth="1"/>
    <col min="29" max="29" width="14.28515625" bestFit="1" customWidth="1"/>
    <col min="30" max="30" width="23.140625" bestFit="1" customWidth="1"/>
    <col min="31" max="31" width="15.28515625" bestFit="1" customWidth="1"/>
    <col min="32" max="32" width="23.140625" bestFit="1" customWidth="1"/>
    <col min="33" max="33" width="15.28515625" bestFit="1" customWidth="1"/>
    <col min="34" max="34" width="23.140625" bestFit="1" customWidth="1"/>
    <col min="35" max="35" width="15.28515625" bestFit="1" customWidth="1"/>
    <col min="36" max="36" width="23.140625" bestFit="1" customWidth="1"/>
    <col min="37" max="37" width="15.28515625" bestFit="1" customWidth="1"/>
    <col min="38" max="38" width="23.140625" bestFit="1" customWidth="1"/>
    <col min="39" max="39" width="5.140625" bestFit="1" customWidth="1"/>
    <col min="40" max="40" width="6.140625" bestFit="1" customWidth="1"/>
    <col min="41" max="41" width="11.5703125" bestFit="1" customWidth="1"/>
    <col min="42" max="42" width="23.140625" bestFit="1" customWidth="1"/>
    <col min="43" max="43" width="9.28515625" bestFit="1" customWidth="1"/>
    <col min="44" max="44" width="15.28515625" bestFit="1" customWidth="1"/>
    <col min="45" max="45" width="23.140625" bestFit="1" customWidth="1"/>
    <col min="46" max="46" width="9.28515625" bestFit="1" customWidth="1"/>
    <col min="47" max="47" width="14.28515625" bestFit="1" customWidth="1"/>
    <col min="48" max="48" width="23.140625" bestFit="1" customWidth="1"/>
    <col min="49" max="49" width="9.28515625" bestFit="1" customWidth="1"/>
    <col min="50" max="50" width="15.28515625" bestFit="1" customWidth="1"/>
    <col min="51" max="51" width="23.140625" bestFit="1" customWidth="1"/>
    <col min="52" max="52" width="9.28515625" bestFit="1" customWidth="1"/>
    <col min="53" max="53" width="15.28515625" bestFit="1" customWidth="1"/>
    <col min="54" max="54" width="22" bestFit="1" customWidth="1"/>
    <col min="55" max="55" width="9.28515625" bestFit="1" customWidth="1"/>
    <col min="56" max="56" width="5.140625" bestFit="1" customWidth="1"/>
    <col min="57" max="58" width="6.140625" bestFit="1" customWidth="1"/>
    <col min="59" max="59" width="11.570312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5">
        <f>INDEX(Table3[Bencin],MATCH(realna_poraba_cupra__2[[#This Row],[Datum]],Table3[Veljavnost],1))*realna_poraba_cupra__2[[#This Row],[Litri]]</f>
        <v>58.296720000000001</v>
      </c>
      <c r="E3" s="2">
        <v>41907</v>
      </c>
      <c r="F3" t="s">
        <v>4</v>
      </c>
      <c r="G3" t="s">
        <v>4</v>
      </c>
      <c r="H3" s="3"/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5">
        <f>INDEX(Table3[Bencin],MATCH(realna_poraba_cupra__2[[#This Row],[Datum]],Table3[Veljavnost],1))*realna_poraba_cupra__2[[#This Row],[Litri]]</f>
        <v>59.797800000000002</v>
      </c>
      <c r="E4" s="2">
        <v>42521</v>
      </c>
      <c r="F4" s="2">
        <f>realna_poraba_cupra__2[[#This Row],[Števec]]-E3</f>
        <v>614</v>
      </c>
      <c r="G4" s="3">
        <f>100*realna_poraba_cupra__2[[#This Row],[Litri]]/realna_poraba_cupra__2[[#This Row],[Prevoženo]]</f>
        <v>7.006514657980456</v>
      </c>
      <c r="H4" s="3">
        <f>100*realna_poraba_cupra__2[[#This Row],[Litri]]/realna_poraba_cupra__2[[#This Row],[Prevoženo]]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5">
        <f>INDEX(Table3[Bencin],MATCH(realna_poraba_cupra__2[[#This Row],[Datum]],Table3[Veljavnost],1))*realna_poraba_cupra__2[[#This Row],[Litri]]</f>
        <v>57.921299999999995</v>
      </c>
      <c r="E5" s="2">
        <v>43181</v>
      </c>
      <c r="F5" s="2">
        <f>realna_poraba_cupra__2[[#This Row],[Števec]]-E4</f>
        <v>660</v>
      </c>
      <c r="G5" s="3">
        <f>100*realna_poraba_cupra__2[[#This Row],[Litri]]/realna_poraba_cupra__2[[#This Row],[Prevoženo]]</f>
        <v>6.3136363636363635</v>
      </c>
      <c r="H5" s="3">
        <f>100*realna_poraba_cupra__2[[#This Row],[Litri]]/realna_poraba_cupra__2[[#This Row],[Prevoženo]]</f>
        <v>6.3136363636363635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5">
        <f>INDEX(Table3[Bencin],MATCH(realna_poraba_cupra__2[[#This Row],[Datum]],Table3[Veljavnost],1))*realna_poraba_cupra__2[[#This Row],[Litri]]</f>
        <v>47.043279999999996</v>
      </c>
      <c r="E6" s="2">
        <v>43696</v>
      </c>
      <c r="F6" s="2">
        <f>realna_poraba_cupra__2[[#This Row],[Števec]]-E5</f>
        <v>515</v>
      </c>
      <c r="G6" s="3">
        <f>100*realna_poraba_cupra__2[[#This Row],[Litri]]/realna_poraba_cupra__2[[#This Row],[Prevoženo]]</f>
        <v>6.6097087378640778</v>
      </c>
      <c r="H6" s="3">
        <f>100*realna_poraba_cupra__2[[#This Row],[Litri]]/realna_poraba_cupra__2[[#This Row],[Prevoženo]]</f>
        <v>6.6097087378640778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5">
        <f>INDEX(Table3[Bencin],MATCH(realna_poraba_cupra__2[[#This Row],[Datum]],Table3[Veljavnost],1))*realna_poraba_cupra__2[[#This Row],[Litri]]</f>
        <v>59.897039999999997</v>
      </c>
      <c r="E7" s="2">
        <v>44314</v>
      </c>
      <c r="F7" s="2">
        <f>(realna_poraba_cupra__2[[#This Row],[Števec]]-E6)</f>
        <v>618</v>
      </c>
      <c r="G7" s="3">
        <f>100*realna_poraba_cupra__2[[#This Row],[Litri]]/realna_poraba_cupra__2[[#This Row],[Prevoženo]]</f>
        <v>6.8640776699029127</v>
      </c>
      <c r="H7" s="3">
        <f>100*realna_poraba_cupra__2[[#This Row],[Litri]]/realna_poraba_cupra__2[[#This Row],[Prevoženo]]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5">
        <f>INDEX(Table3[Bencin],MATCH(realna_poraba_cupra__2[[#This Row],[Datum]],Table3[Veljavnost],1))*realna_poraba_cupra__2[[#This Row],[Litri]]</f>
        <v>60.857199999999999</v>
      </c>
      <c r="E8" s="2">
        <v>44997</v>
      </c>
      <c r="F8" s="2">
        <f>realna_poraba_cupra__2[[#This Row],[Števec]]-E7</f>
        <v>683</v>
      </c>
      <c r="G8" s="3">
        <f>100*realna_poraba_cupra__2[[#This Row],[Litri]]/realna_poraba_cupra__2[[#This Row],[Prevoženo]]</f>
        <v>6.3103953147877014</v>
      </c>
      <c r="H8" s="3">
        <f>100*realna_poraba_cupra__2[[#This Row],[Litri]]/realna_poraba_cupra__2[[#This Row],[Prevoženo]]</f>
        <v>6.3103953147877014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5">
        <f>INDEX(Table3[Bencin],MATCH(realna_poraba_cupra__2[[#This Row],[Datum]],Table3[Veljavnost],1))*realna_poraba_cupra__2[[#This Row],[Litri]]</f>
        <v>54.368319999999997</v>
      </c>
      <c r="E9" s="2">
        <v>45546</v>
      </c>
      <c r="F9" s="2">
        <f>(realna_poraba_cupra__2[[#This Row],[Števec]]-E8)</f>
        <v>549</v>
      </c>
      <c r="G9" s="3">
        <f>100*realna_poraba_cupra__2[[#This Row],[Litri]]/realna_poraba_cupra__2[[#This Row],[Prevoženo]]</f>
        <v>6.9544626593806917</v>
      </c>
      <c r="H9" s="3">
        <f>100*realna_poraba_cupra__2[[#This Row],[Litri]]/realna_poraba_cupra__2[[#This Row],[Prevoženo]]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5">
        <f>INDEX(Table3[Bencin],MATCH(realna_poraba_cupra__2[[#This Row],[Datum]],Table3[Veljavnost],1))*realna_poraba_cupra__2[[#This Row],[Litri]]</f>
        <v>58.713039999999992</v>
      </c>
      <c r="E10" s="2">
        <v>46126</v>
      </c>
      <c r="F10" s="2">
        <f>realna_poraba_cupra__2[[#This Row],[Števec]]-E9</f>
        <v>580</v>
      </c>
      <c r="G10" s="3">
        <f>100*realna_poraba_cupra__2[[#This Row],[Litri]]/realna_poraba_cupra__2[[#This Row],[Prevoženo]]</f>
        <v>7.0103448275862057</v>
      </c>
      <c r="H10" s="3">
        <f>100*realna_poraba_cupra__2[[#This Row],[Litri]]/realna_poraba_cupra__2[[#This Row],[Prevoženo]]</f>
        <v>7.0103448275862057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5">
        <f>INDEX(Table3[Bencin],MATCH(realna_poraba_cupra__2[[#This Row],[Datum]],Table3[Veljavnost],1))*realna_poraba_cupra__2[[#This Row],[Litri]]</f>
        <v>56.561480000000003</v>
      </c>
      <c r="E11" s="2">
        <v>46687</v>
      </c>
      <c r="F11" s="2">
        <f>(realna_poraba_cupra__2[[#This Row],[Števec]]-E10)</f>
        <v>561</v>
      </c>
      <c r="G11" s="3">
        <f>100*realna_poraba_cupra__2[[#This Row],[Litri]]/realna_poraba_cupra__2[[#This Row],[Prevoženo]]</f>
        <v>6.9821746880570412</v>
      </c>
      <c r="H11" s="3">
        <f>100*realna_poraba_cupra__2[[#This Row],[Litri]]/realna_poraba_cupra__2[[#This Row],[Prevoženo]]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5">
        <f>INDEX(Table3[Bencin],MATCH(realna_poraba_cupra__2[[#This Row],[Datum]],Table3[Veljavnost],1))*realna_poraba_cupra__2[[#This Row],[Litri]]</f>
        <v>58.662239999999997</v>
      </c>
      <c r="E12" s="2">
        <v>47250</v>
      </c>
      <c r="F12" s="2">
        <f>realna_poraba_cupra__2[[#This Row],[Števec]]-E11</f>
        <v>563</v>
      </c>
      <c r="G12" s="3">
        <f>100*realna_poraba_cupra__2[[#This Row],[Litri]]/realna_poraba_cupra__2[[#This Row],[Prevoženo]]</f>
        <v>7.1563055062166967</v>
      </c>
      <c r="H12" s="3">
        <f>100*realna_poraba_cupra__2[[#This Row],[Litri]]/realna_poraba_cupra__2[[#This Row],[Prevoženo]]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5">
        <f>INDEX(Table3[Bencin],MATCH(realna_poraba_cupra__2[[#This Row],[Datum]],Table3[Veljavnost],1))*realna_poraba_cupra__2[[#This Row],[Litri]]</f>
        <v>59.710559999999994</v>
      </c>
      <c r="E13" s="2">
        <v>47867</v>
      </c>
      <c r="F13" s="2">
        <f>(realna_poraba_cupra__2[[#This Row],[Števec]]-E12)</f>
        <v>617</v>
      </c>
      <c r="G13" s="3">
        <f>100*realna_poraba_cupra__2[[#This Row],[Litri]]/realna_poraba_cupra__2[[#This Row],[Prevoženo]]</f>
        <v>6.646677471636953</v>
      </c>
      <c r="H13" s="3">
        <f>100*realna_poraba_cupra__2[[#This Row],[Litri]]/realna_poraba_cupra__2[[#This Row],[Prevoženo]]</f>
        <v>6.646677471636953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5">
        <f>INDEX(Table3[Bencin],MATCH(realna_poraba_cupra__2[[#This Row],[Datum]],Table3[Veljavnost],1))*realna_poraba_cupra__2[[#This Row],[Litri]]</f>
        <v>56.178979999999996</v>
      </c>
      <c r="E14" s="2">
        <v>48407</v>
      </c>
      <c r="F14" s="2">
        <f>realna_poraba_cupra__2[[#This Row],[Števec]]-E13</f>
        <v>540</v>
      </c>
      <c r="G14" s="3">
        <f>100*realna_poraba_cupra__2[[#This Row],[Litri]]/realna_poraba_cupra__2[[#This Row],[Prevoženo]]</f>
        <v>6.8851851851851853</v>
      </c>
      <c r="H14" s="3">
        <f>100*realna_poraba_cupra__2[[#This Row],[Litri]]/realna_poraba_cupra__2[[#This Row],[Prevoženo]]</f>
        <v>6.8851851851851853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5">
        <f>INDEX(Table3[Bencin],MATCH(realna_poraba_cupra__2[[#This Row],[Datum]],Table3[Veljavnost],1))*realna_poraba_cupra__2[[#This Row],[Litri]]</f>
        <v>62.646059999999999</v>
      </c>
      <c r="E15" s="2">
        <v>49005</v>
      </c>
      <c r="F15" s="2">
        <f>(realna_poraba_cupra__2[[#This Row],[Števec]]-E14)</f>
        <v>598</v>
      </c>
      <c r="G15" s="3">
        <f>100*realna_poraba_cupra__2[[#This Row],[Litri]]/realna_poraba_cupra__2[[#This Row],[Prevoženo]]</f>
        <v>6.9331103678929766</v>
      </c>
      <c r="H15" s="3">
        <f>100*realna_poraba_cupra__2[[#This Row],[Litri]]/realna_poraba_cupra__2[[#This Row],[Prevoženo]]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5">
        <f>INDEX(Table3[Bencin],MATCH(realna_poraba_cupra__2[[#This Row],[Datum]],Table3[Veljavnost],1))*realna_poraba_cupra__2[[#This Row],[Litri]]</f>
        <v>55.537680000000002</v>
      </c>
      <c r="E16" s="2">
        <v>49480</v>
      </c>
      <c r="F16" s="2">
        <f>realna_poraba_cupra__2[[#This Row],[Števec]]-E15</f>
        <v>475</v>
      </c>
      <c r="G16" s="3">
        <f>100*realna_poraba_cupra__2[[#This Row],[Litri]]/realna_poraba_cupra__2[[#This Row],[Prevoženo]]</f>
        <v>7.5726315789473686</v>
      </c>
      <c r="H16" s="3">
        <f>100*realna_poraba_cupra__2[[#This Row],[Litri]]/realna_poraba_cupra__2[[#This Row],[Prevoženo]]</f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5">
        <f>INDEX(Table3[Bencin],MATCH(realna_poraba_cupra__2[[#This Row],[Datum]],Table3[Veljavnost],1))*realna_poraba_cupra__2[[#This Row],[Litri]]</f>
        <v>60.085740000000001</v>
      </c>
      <c r="E17" s="2">
        <v>50012</v>
      </c>
      <c r="F17" s="2">
        <f>(realna_poraba_cupra__2[[#This Row],[Števec]]-E16)</f>
        <v>532</v>
      </c>
      <c r="G17" s="3">
        <f>100*realna_poraba_cupra__2[[#This Row],[Litri]]/realna_poraba_cupra__2[[#This Row],[Prevoženo]]</f>
        <v>7.2819548872180455</v>
      </c>
      <c r="H17" s="3">
        <f>100*realna_poraba_cupra__2[[#This Row],[Litri]]/realna_poraba_cupra__2[[#This Row],[Prevoženo]]</f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5">
        <f>INDEX(Table3[Bencin],MATCH(realna_poraba_cupra__2[[#This Row],[Datum]],Table3[Veljavnost],1))*realna_poraba_cupra__2[[#This Row],[Litri]]</f>
        <v>56.03763</v>
      </c>
      <c r="E18" s="2">
        <v>50458</v>
      </c>
      <c r="F18" s="2">
        <f>realna_poraba_cupra__2[[#This Row],[Števec]]-E17</f>
        <v>446</v>
      </c>
      <c r="G18" s="3">
        <f>100*realna_poraba_cupra__2[[#This Row],[Litri]]/realna_poraba_cupra__2[[#This Row],[Prevoženo]]</f>
        <v>8.1008968609865484</v>
      </c>
      <c r="H18" s="3">
        <f>100*realna_poraba_cupra__2[[#This Row],[Litri]]/realna_poraba_cupra__2[[#This Row],[Prevoženo]]</f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5">
        <f>INDEX(Table3[Bencin],MATCH(realna_poraba_cupra__2[[#This Row],[Datum]],Table3[Veljavnost],1))*realna_poraba_cupra__2[[#This Row],[Litri]]</f>
        <v>61.153880000000001</v>
      </c>
      <c r="E19" s="2">
        <v>50991</v>
      </c>
      <c r="F19" s="2">
        <f>(realna_poraba_cupra__2[[#This Row],[Števec]]-E18)</f>
        <v>533</v>
      </c>
      <c r="G19" s="3">
        <f>100*realna_poraba_cupra__2[[#This Row],[Litri]]/realna_poraba_cupra__2[[#This Row],[Prevoženo]]</f>
        <v>7.2251407129455911</v>
      </c>
      <c r="H19" s="3">
        <f>100*realna_poraba_cupra__2[[#This Row],[Litri]]/realna_poraba_cupra__2[[#This Row],[Prevoženo]]</f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5">
        <f>INDEX(Table3[Bencin],MATCH(realna_poraba_cupra__2[[#This Row],[Datum]],Table3[Veljavnost],1))*realna_poraba_cupra__2[[#This Row],[Litri]]</f>
        <v>61.677920000000007</v>
      </c>
      <c r="E20" s="2">
        <v>51593</v>
      </c>
      <c r="F20" s="2">
        <f>realna_poraba_cupra__2[[#This Row],[Števec]]-E19</f>
        <v>602</v>
      </c>
      <c r="G20" s="3">
        <f>100*realna_poraba_cupra__2[[#This Row],[Litri]]/realna_poraba_cupra__2[[#This Row],[Prevoženo]]</f>
        <v>6.4518272425249181</v>
      </c>
      <c r="H20" s="3">
        <f>100*realna_poraba_cupra__2[[#This Row],[Litri]]/realna_poraba_cupra__2[[#This Row],[Prevoženo]]</f>
        <v>6.4518272425249181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5">
        <f>INDEX(Table3[Bencin],MATCH(realna_poraba_cupra__2[[#This Row],[Datum]],Table3[Veljavnost],1))*realna_poraba_cupra__2[[#This Row],[Litri]]</f>
        <v>64.097279999999998</v>
      </c>
      <c r="E21" s="2">
        <v>52176</v>
      </c>
      <c r="F21" s="2">
        <f>(realna_poraba_cupra__2[[#This Row],[Števec]]-E20)</f>
        <v>583</v>
      </c>
      <c r="G21" s="3">
        <f>100*realna_poraba_cupra__2[[#This Row],[Litri]]/realna_poraba_cupra__2[[#This Row],[Prevoženo]]</f>
        <v>7.1578044596912518</v>
      </c>
      <c r="H21" s="3">
        <f>100*realna_poraba_cupra__2[[#This Row],[Litri]]/realna_poraba_cupra__2[[#This Row],[Prevoženo]]</f>
        <v>7.1578044596912518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J23" s="1">
        <v>45209</v>
      </c>
      <c r="K23" s="4">
        <v>1.536</v>
      </c>
    </row>
    <row r="24" spans="2:11" x14ac:dyDescent="0.25">
      <c r="J24" s="1">
        <v>45223</v>
      </c>
      <c r="K24" s="4">
        <v>1.536</v>
      </c>
    </row>
    <row r="25" spans="2:11" x14ac:dyDescent="0.25">
      <c r="J25" s="1">
        <v>45237</v>
      </c>
      <c r="K25" s="4">
        <v>1.534</v>
      </c>
    </row>
    <row r="28" spans="2:11" x14ac:dyDescent="0.25">
      <c r="C28" s="6" t="s">
        <v>18</v>
      </c>
    </row>
    <row r="29" spans="2:11" x14ac:dyDescent="0.25">
      <c r="B29" s="6" t="s">
        <v>17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10</v>
      </c>
    </row>
    <row r="30" spans="2:11" x14ac:dyDescent="0.25">
      <c r="B30" s="7" t="s">
        <v>19</v>
      </c>
      <c r="C30" s="8">
        <v>1789</v>
      </c>
      <c r="D30" s="8">
        <v>1850</v>
      </c>
      <c r="E30" s="8">
        <v>2321</v>
      </c>
      <c r="F30" s="8">
        <v>1138</v>
      </c>
      <c r="G30" s="8">
        <v>1986</v>
      </c>
      <c r="H30" s="8">
        <v>1185</v>
      </c>
      <c r="I30" s="8">
        <v>10269</v>
      </c>
    </row>
    <row r="31" spans="2:11" x14ac:dyDescent="0.25">
      <c r="B31" s="7" t="s">
        <v>20</v>
      </c>
      <c r="C31" s="3">
        <v>6.643286586493633</v>
      </c>
      <c r="D31" s="3">
        <v>6.7096452146904353</v>
      </c>
      <c r="E31" s="3">
        <v>6.9488756233742235</v>
      </c>
      <c r="F31" s="3">
        <v>6.909147776539081</v>
      </c>
      <c r="G31" s="3">
        <v>7.5451560100243888</v>
      </c>
      <c r="H31" s="3">
        <v>6.804815851108085</v>
      </c>
      <c r="I31" s="3">
        <v>6.9701582884689435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{3816E250-1646-4172-8A84-83E93660D132}</x14:id>
        </ext>
      </extLst>
    </cfRule>
  </conditionalFormatting>
  <pageMargins left="0.7" right="0.7" top="0.75" bottom="0.75" header="0.3" footer="0.3"/>
  <pageSetup paperSize="9" orientation="portrait" verticalDpi="0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16E250-1646-4172-8A84-83E93660D132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Reš, Lara</cp:lastModifiedBy>
  <dcterms:created xsi:type="dcterms:W3CDTF">2007-10-01T06:54:22Z</dcterms:created>
  <dcterms:modified xsi:type="dcterms:W3CDTF">2025-12-08T18:29:10Z</dcterms:modified>
</cp:coreProperties>
</file>